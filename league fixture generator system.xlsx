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Feasibility Study" sheetId="1" state="visible" r:id="rId2"/>
    <sheet name="Cost-Benefit Analysis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<sst xmlns="http://schemas.openxmlformats.org/spreadsheetml/2006/main" count="89" uniqueCount="88">
  <si>
    <t xml:space="preserve">League Fixture Generator System — Feasibility Study</t>
  </si>
  <si>
    <t xml:space="preserve">Menoufia University — Faculty of Computers and Information | System Analysis &amp; Design Project (Second Year, 2026–2027)</t>
  </si>
  <si>
    <t xml:space="preserve">Note: All figures, operational scenarios, and schedule estimates below are proposed student-project assumptions to be validated with stakeholder interviews.</t>
  </si>
  <si>
    <t xml:space="preserve">Type</t>
  </si>
  <si>
    <t xml:space="preserve">Current Situation / Considerations</t>
  </si>
  <si>
    <t xml:space="preserve">Proposed Solution / Benefits</t>
  </si>
  <si>
    <t xml:space="preserve">Feasibility Result</t>
  </si>
  <si>
    <t xml:space="preserve">Technical</t>
  </si>
  <si>
    <t xml:space="preserve">Fixtures are prepared manually on paper or in spreadsheets. Pairing teams round-by-round and checking venue/date availability by hand causes team double-bookings, venue clashes, and manual rework after any match postponement.</t>
  </si>
  <si>
    <t xml:space="preserve">Web-based application built with standard coursework tools (HTML, CSS, JavaScript frontend; server-side backend; relational database) using a round-robin pairing algorithm (with automatic bye handling for odd team counts and conflict-free date/venue assignment).</t>
  </si>
  <si>
    <t xml:space="preserve">Technically Feasible</t>
  </si>
  <si>
    <t xml:space="preserve">Operational</t>
  </si>
  <si>
    <t xml:space="preserve">Manual tournament coordination takes several hours per draft, is prone to overlapping pitch bookings, struggles to balance home/away matches and rest days, and distributes schedules late in inconsistent formats (screenshots or paper copies).</t>
  </si>
  <si>
    <t xml:space="preserve">Automated single/double round-robin fixture generation (knockout optional), fast regeneration of affected rounds after changes, simple organizer interface, view-only team access, printable PDF/spreadsheet export, and basic match result &amp; standings tracking.</t>
  </si>
  <si>
    <t xml:space="preserve">Operationally Feasible</t>
  </si>
  <si>
    <t xml:space="preserve">Economic</t>
  </si>
  <si>
    <t xml:space="preserve">Manual scheduling wastes organizer hours each semester and causes administrative errors, while commercial league management software licenses are unnecessarily expensive for an amateur or university sports committee.</t>
  </si>
  <si>
    <t xml:space="preserve">Developed in-house by the 5-student team using free open-source tools ($0 software license cost). Illustrative first-year setup and hosting costs ($150–$400, midpoint $275) are outweighed by estimated annual time/admin savings ($630–$970, midpoint $800), with payback in ~4.1 months.</t>
  </si>
  <si>
    <t xml:space="preserve">Cost-Effective</t>
  </si>
  <si>
    <t xml:space="preserve">Legal</t>
  </si>
  <si>
    <t xml:space="preserve">Requires compliance with basic participant data privacy, university/amateur sports committee regulations, fair-play scheduling rules, and software licensing terms.</t>
  </si>
  <si>
    <t xml:space="preserve">Stores only essential league data (team names, venues, match times, scores), enforces role-based access (organizer edit vs. team view-only), applies transparent scheduling constraints, and uses free open-source technologies with no proprietary license issues.</t>
  </si>
  <si>
    <t xml:space="preserve">Legally Feasible</t>
  </si>
  <si>
    <t xml:space="preserve">Schedule</t>
  </si>
  <si>
    <t xml:space="preserve">Manual scheduling delays tournament planning and league kickoff dates. The proposed system itself must be completed within the academic project schedule.</t>
  </si>
  <si>
    <t xml:space="preserve">Planned across 60 working days (~12 weeks) using the Waterfall SDLC: Planning (9 days, 15%), Analysis (12 days, 20%), Design (21 days, 35%), and Implementation (18 days, 30%), matching the PERT critical path and Gantt schedule.</t>
  </si>
  <si>
    <t xml:space="preserve">Achievable Timeline</t>
  </si>
  <si>
    <t xml:space="preserve">SDLC Schedule Feasibility &amp; Time Estimation Alignment (60 Working Days Total)</t>
  </si>
  <si>
    <t xml:space="preserve">SDLC Phase</t>
  </si>
  <si>
    <t xml:space="preserve">Main Activities &amp; PERT Tasks</t>
  </si>
  <si>
    <t xml:space="preserve">Standard SDLC Share</t>
  </si>
  <si>
    <t xml:space="preserve">Estimated Duration (Days)</t>
  </si>
  <si>
    <t xml:space="preserve">Planning</t>
  </si>
  <si>
    <t xml:space="preserve">Tasks T1–T3 (Days 1–9): System Request &amp; Project Identification (T1, 3d), Feasibility Study (T2, 3d), Methodology, PERT &amp; Gantt (T3, 3d)</t>
  </si>
  <si>
    <t xml:space="preserve">Analysis</t>
  </si>
  <si>
    <t xml:space="preserve">Tasks T4–T10 (Days 10–21): Interview (T4, 4d), Questionnaire (T5, 3d), DFDs (T6, 3d), Data Store (T7, 2d), Process Spec. (T8, 2d), ERD (T9, 3d), Normalization (T10, 2d)</t>
  </si>
  <si>
    <t xml:space="preserve">Design</t>
  </si>
  <si>
    <t xml:space="preserve">Task T11 (Days 22–42): System Design — Architecture, Relational Database Schema, Physical DFD/ERD &amp; UI Prototype (21d)</t>
  </si>
  <si>
    <t xml:space="preserve">Implementation</t>
  </si>
  <si>
    <t xml:space="preserve">Task T12 (Days 43–60): Implementation, Round-Robin Fixture Generation Engine, Data Entry, Export &amp; System Testing (18d)</t>
  </si>
  <si>
    <t xml:space="preserve">Total</t>
  </si>
  <si>
    <t xml:space="preserve">Critical Path: T1 → T2 → T3 → T4 → T6 → T7/T8 → T9 → T11 → T12 (60 Working Days)</t>
  </si>
  <si>
    <t xml:space="preserve">Cost-Benefit Analysis — League Fixture Generator System</t>
  </si>
  <si>
    <t xml:space="preserve">Student-Project Economic Feasibility Model (Illustrative First-Year Estimates in USD — Adapted for an Amateur / University League Scenario)</t>
  </si>
  <si>
    <t xml:space="preserve">Assumption Note: All dollar amounts are illustrative student-project estimates (assuming free open-source development tools, basic cloud/local hosting, and valued organizer hours saved across two semesters/year).</t>
  </si>
  <si>
    <t xml:space="preserve">Category</t>
  </si>
  <si>
    <t xml:space="preserve">Description (Cost Scope)</t>
  </si>
  <si>
    <t xml:space="preserve">Est. Cost Low ($)</t>
  </si>
  <si>
    <t xml:space="preserve">Est. Cost High ($)</t>
  </si>
  <si>
    <t xml:space="preserve">Est. Cost Midpoint ($)</t>
  </si>
  <si>
    <t xml:space="preserve">Benefits &amp; Operational Impact</t>
  </si>
  <si>
    <t xml:space="preserve">Annual Value Low ($)</t>
  </si>
  <si>
    <t xml:space="preserve">Annual Value High ($)</t>
  </si>
  <si>
    <t xml:space="preserve">Annual Value Midpoint ($)</t>
  </si>
  <si>
    <t xml:space="preserve">Software</t>
  </si>
  <si>
    <t xml:space="preserve">In-house development by the 5-student team using free open-source tools ($0 license cost; optional domain/SSL &amp; dev utilities)</t>
  </si>
  <si>
    <t xml:space="preserve">Centralized, automated round-robin fixture generator eliminates scheduling clashes and manual pairing errors</t>
  </si>
  <si>
    <t xml:space="preserve">Hardware</t>
  </si>
  <si>
    <t xml:space="preserve">Basic shared cloud web hosting, database storage, and automated backups (or local university server deployment)</t>
  </si>
  <si>
    <t xml:space="preserve">Faster schedule generation; 24/7 browser access and reduced manual venue/date coordination time</t>
  </si>
  <si>
    <t xml:space="preserve">Training</t>
  </si>
  <si>
    <t xml:space="preserve">Short walkthrough session (1–2 hours) and concise user guide for the league organizer and fixture planner</t>
  </si>
  <si>
    <t xml:space="preserve">Smooth transition from spreadsheets and faster onboarding of student organizers each semester</t>
  </si>
  <si>
    <t xml:space="preserve">Maintenance</t>
  </si>
  <si>
    <t xml:space="preserve">Routine semester updates, minor bug fixes, and database backup checks across the academic year</t>
  </si>
  <si>
    <t xml:space="preserve">Ensures system reliability, conflict prevention, and fast schedule regeneration after match postponements</t>
  </si>
  <si>
    <t xml:space="preserve">Administration</t>
  </si>
  <si>
    <t xml:space="preserve">Transition from paper calendars, printed drafts, and manual spreadsheets to a single digital workflow</t>
  </si>
  <si>
    <t xml:space="preserve">Eliminates manual paper sheets and version confusion via consistent PDF and spreadsheet exports</t>
  </si>
  <si>
    <t xml:space="preserve">User Experience</t>
  </si>
  <si>
    <t xml:space="preserve">Manual fixture preparation previously caused late schedules, consecutive-day fatigue, and fairness complaints ($0 extra fee)</t>
  </si>
  <si>
    <t xml:space="preserve">Intangible qualitative benefit: balanced home/away matches, fair rest days, and higher team satisfaction ($0 direct cash assumed)</t>
  </si>
  <si>
    <t xml:space="preserve">Total Estimated First-Year Costs (Range: $150 – $400; Midpoint: $275)</t>
  </si>
  <si>
    <t xml:space="preserve">Total Estimated Annual Benefits / Savings (Range: $630 – $970; Midpoint: $800)</t>
  </si>
  <si>
    <t xml:space="preserve">Economic Feasibility Summary &amp; Payback Analysis</t>
  </si>
  <si>
    <t xml:space="preserve">Net Annual Benefit ($)</t>
  </si>
  <si>
    <t xml:space="preserve">Annual Benefits minus First-Year Costs (Low / High / Expected Midpoint)</t>
  </si>
  <si>
    <t xml:space="preserve">Positive net benefit across all scenarios ($480 to $570; expected $525 in Year 1; conservative bound Low Benefit $630 − High Cost $400 = +$230).</t>
  </si>
  <si>
    <t xml:space="preserve">Payback Period (Years)</t>
  </si>
  <si>
    <t xml:space="preserve">First-Year Costs divided by Annual Benefits (Low Cost / High Cost / Midpoint)</t>
  </si>
  <si>
    <t xml:space="preserve">Payback achieved within ~0.24 to 0.41 years (expected 0.34 years, or ~4.1 months); even worst-case High Cost / Low Benefit ($400 / $630) pays back in 0.63 years (~7.6 months, well within 1 year).</t>
  </si>
  <si>
    <t xml:space="preserve">Payback Period (Months)</t>
  </si>
  <si>
    <t xml:space="preserve">Estimated months to recover initial setup and hosting costs</t>
  </si>
  <si>
    <t xml:space="preserve">Expected payback within the first academic semester (~4.1 months).</t>
  </si>
  <si>
    <t xml:space="preserve">First-Year ROI (%)</t>
  </si>
  <si>
    <t xml:space="preserve">Net First-Year Benefit divided by First-Year Cost</t>
  </si>
  <si>
    <t xml:space="preserve">Strong return on investment (expected 190.9% in Year 1) driven by zero software licensing cost and automated schedule generation.</t>
  </si>
  <si>
    <t xml:space="preserve">Conclusion: The League Fixture Generator System is economically feasible for a student/university project, recovering its illustrative first-year setup and hosting costs ($150–$400) within 1 year (~4.1 months expected) while eliminating scheduling conflicts and reducing manual organizer workload.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</si>
</sst>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%"/>
    <numFmt numFmtId="166" formatCode="#,##0"/>
    <numFmt numFmtId="167" formatCode="\$#,##0"/>
    <numFmt numFmtId="168" formatCode="0.00"/>
    <numFmt numFmtId="169" formatCode="0.0"/>
    <numFmt numFmtId="170" formatCode="0.0%"/>
  </numFmts>
  <fonts count="1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Calibri"/>
      <family val="0"/>
      <charset val="1"/>
    </font>
    <font>
      <i val="true"/>
      <sz val="10"/>
      <color rgb="FF1F4E78"/>
      <name val="Calibri"/>
      <family val="0"/>
      <charset val="1"/>
    </font>
    <font>
      <i val="true"/>
      <sz val="9.5"/>
      <color rgb="FF595959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0.5"/>
      <color rgb="FF1F1F1F"/>
      <name val="Calibri"/>
      <family val="0"/>
      <charset val="1"/>
    </font>
    <font>
      <sz val="10.5"/>
      <color rgb="FF1F1F1F"/>
      <name val="Calibri"/>
      <family val="0"/>
      <charset val="1"/>
    </font>
    <font>
      <b val="true"/>
      <sz val="10.5"/>
      <color rgb="FF274E13"/>
      <name val="Calibri"/>
      <family val="0"/>
      <charset val="1"/>
    </font>
    <font>
      <b val="true"/>
      <sz val="11"/>
      <color rgb="FF1F4E78"/>
      <name val="Calibri"/>
      <family val="0"/>
      <charset val="1"/>
    </font>
    <font>
      <b val="true"/>
      <sz val="10.5"/>
      <color rgb="FF1F4E78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D9D9D9"/>
      </patternFill>
    </fill>
    <fill>
      <patternFill patternType="solid">
        <fgColor rgb="FFFFFFFF"/>
        <bgColor rgb="FFF9FAFC"/>
      </patternFill>
    </fill>
    <fill>
      <patternFill patternType="solid">
        <fgColor rgb="FFE2EFDA"/>
        <bgColor rgb="FFEDF2F8"/>
      </patternFill>
    </fill>
    <fill>
      <patternFill patternType="solid">
        <fgColor rgb="FFF9FAFC"/>
        <bgColor rgb="FFF9F9F9"/>
      </patternFill>
    </fill>
    <fill>
      <patternFill patternType="solid">
        <fgColor rgb="FFEDF2F8"/>
        <bgColor rgb="FFF9F9F9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medium">
        <color rgb="FF1F4E78"/>
      </top>
      <bottom style="medium">
        <color rgb="FF1F4E78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double">
        <color rgb="FF1F4E7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6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9" fillId="6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9" fillId="4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9" fillId="4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2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2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4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7" fontId="8" fillId="4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7" fontId="9" fillId="6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7" fontId="8" fillId="6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7" fontId="12" fillId="7" borderId="3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9" fillId="6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8" fontId="8" fillId="6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9" fontId="9" fillId="4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9" fontId="8" fillId="4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70" fontId="9" fillId="6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70" fontId="8" fillId="6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0" fillId="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C0504D"/>
      <rgbColor rgb="FFF9F9F9"/>
      <rgbColor rgb="FFEDF2F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E2EFDA"/>
      <rgbColor rgb="FFF9FAFC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274E13"/>
      <rgbColor rgb="FF993300"/>
      <rgbColor rgb="FF993366"/>
      <rgbColor rgb="FF1F4E78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League Fixture Generator System — Expected Cost vs. Annual Benefit by Category (USD)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'Cost-Benefit Analysis'!E5</c:f>
              <c:strCache>
                <c:ptCount val="1"/>
                <c:pt idx="0">
                  <c:v>Est. Cost Midpoint ($)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'Cost-Benefit Analysis'!$A$6:$A$11</c:f>
              <c:strCache>
                <c:ptCount val="6"/>
                <c:pt idx="0">
                  <c:v>Software</c:v>
                </c:pt>
                <c:pt idx="1">
                  <c:v>Hardware</c:v>
                </c:pt>
                <c:pt idx="2">
                  <c:v>Training</c:v>
                </c:pt>
                <c:pt idx="3">
                  <c:v>Maintenance</c:v>
                </c:pt>
                <c:pt idx="4">
                  <c:v>Administration</c:v>
                </c:pt>
                <c:pt idx="5">
                  <c:v>User Experience</c:v>
                </c:pt>
              </c:strCache>
            </c:strRef>
          </c:cat>
          <c:val>
            <c:numRef>
              <c:f>'Cost-Benefit Analysis'!$E$6:$E$11</c:f>
              <c:numCache>
                <c:formatCode>General</c:formatCode>
                <c:ptCount val="6"/>
                <c:pt idx="0">
                  <c:v>50</c:v>
                </c:pt>
                <c:pt idx="1">
                  <c:v>90</c:v>
                </c:pt>
                <c:pt idx="2">
                  <c:v>30</c:v>
                </c:pt>
                <c:pt idx="3">
                  <c:v>60</c:v>
                </c:pt>
                <c:pt idx="4">
                  <c:v>45</c:v>
                </c:pt>
                <c:pt idx="5">
                  <c:v>0</c:v>
                </c:pt>
              </c:numCache>
            </c:numRef>
          </c:val>
        </c:ser>
        <c:ser>
          <c:idx val="1"/>
          <c:order val="1"/>
          <c:tx>
            <c:strRef>
              <c:f>'Cost-Benefit Analysis'!I5</c:f>
              <c:strCache>
                <c:ptCount val="1"/>
                <c:pt idx="0">
                  <c:v>Annual Value Midpoint ($)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'Cost-Benefit Analysis'!$A$6:$A$11</c:f>
              <c:strCache>
                <c:ptCount val="6"/>
                <c:pt idx="0">
                  <c:v>Software</c:v>
                </c:pt>
                <c:pt idx="1">
                  <c:v>Hardware</c:v>
                </c:pt>
                <c:pt idx="2">
                  <c:v>Training</c:v>
                </c:pt>
                <c:pt idx="3">
                  <c:v>Maintenance</c:v>
                </c:pt>
                <c:pt idx="4">
                  <c:v>Administration</c:v>
                </c:pt>
                <c:pt idx="5">
                  <c:v>User Experience</c:v>
                </c:pt>
              </c:strCache>
            </c:strRef>
          </c:cat>
          <c:val>
            <c:numRef>
              <c:f>'Cost-Benefit Analysis'!$I$6:$I$11</c:f>
              <c:numCache>
                <c:formatCode>General</c:formatCode>
                <c:ptCount val="6"/>
                <c:pt idx="0">
                  <c:v>250</c:v>
                </c:pt>
                <c:pt idx="1">
                  <c:v>200</c:v>
                </c:pt>
                <c:pt idx="2">
                  <c:v>100</c:v>
                </c:pt>
                <c:pt idx="3">
                  <c:v>150</c:v>
                </c:pt>
                <c:pt idx="4">
                  <c:v>100</c:v>
                </c:pt>
                <c:pt idx="5">
                  <c:v>0</c:v>
                </c:pt>
              </c:numCache>
            </c:numRef>
          </c:val>
        </c:ser>
        <c:gapWidth val="150"/>
        <c:overlap val="0"/>
        <c:axId val="47169075"/>
        <c:axId val="87156816"/>
      </c:barChart>
      <c:catAx>
        <c:axId val="4716907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Category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156816"/>
        <c:crosses val="autoZero"/>
        <c:auto val="1"/>
        <c:lblAlgn val="ctr"/>
        <c:lblOffset val="100"/>
        <c:noMultiLvlLbl val="0"/>
      </c:catAx>
      <c:valAx>
        <c:axId val="8715681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Estimated USD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16907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22</xdr:row>
      <xdr:rowOff>0</xdr:rowOff>
    </xdr:from>
    <xdr:to>
      <xdr:col>6</xdr:col>
      <xdr:colOff>946800</xdr:colOff>
      <xdr:row>42</xdr:row>
      <xdr:rowOff>149760</xdr:rowOff>
    </xdr:to>
    <xdr:graphicFrame>
      <xdr:nvGraphicFramePr>
        <xdr:cNvPr id="0" name="Chart 1"/>
        <xdr:cNvGraphicFramePr/>
      </xdr:nvGraphicFramePr>
      <xdr:xfrm>
        <a:off x="0" y="7886880"/>
        <a:ext cx="1151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42"/>
    <col collapsed="false" customWidth="true" hidden="false" outlineLevel="0" max="4" min="4" style="0" width="24"/>
  </cols>
  <sheetData>
    <row r="1" customFormat="false" ht="30" hidden="false" customHeight="true" outlineLevel="0" collapsed="false">
      <c r="A1" s="1" t="s">
        <v>0</v>
      </c>
      <c r="B1" s="1"/>
      <c r="C1" s="1"/>
      <c r="D1" s="1"/>
    </row>
    <row r="2" customFormat="false" ht="19.5" hidden="false" customHeight="true" outlineLevel="0" collapsed="false">
      <c r="A2" s="2" t="s">
        <v>1</v>
      </c>
      <c r="B2" s="2"/>
      <c r="C2" s="2"/>
      <c r="D2" s="2"/>
    </row>
    <row r="3" customFormat="false" ht="19.5" hidden="false" customHeight="true" outlineLevel="0" collapsed="false">
      <c r="A3" s="3" t="s">
        <v>2</v>
      </c>
      <c r="B3" s="3"/>
      <c r="C3" s="3"/>
      <c r="D3" s="3"/>
    </row>
    <row r="4" customFormat="false" ht="9.75" hidden="false" customHeight="true" outlineLevel="0" collapsed="false"/>
    <row r="5" customFormat="false" ht="25.5" hidden="false" customHeight="true" outlineLevel="0" collapsed="false">
      <c r="A5" s="4" t="s">
        <v>3</v>
      </c>
      <c r="B5" s="5" t="s">
        <v>4</v>
      </c>
      <c r="C5" s="5" t="s">
        <v>5</v>
      </c>
      <c r="D5" s="4" t="s">
        <v>6</v>
      </c>
    </row>
    <row r="6" customFormat="false" ht="75.75" hidden="false" customHeight="true" outlineLevel="0" collapsed="false">
      <c r="A6" s="6" t="s">
        <v>7</v>
      </c>
      <c r="B6" s="7" t="s">
        <v>8</v>
      </c>
      <c r="C6" s="7" t="s">
        <v>9</v>
      </c>
      <c r="D6" s="8" t="s">
        <v>10</v>
      </c>
    </row>
    <row r="7" customFormat="false" ht="75.75" hidden="false" customHeight="true" outlineLevel="0" collapsed="false">
      <c r="A7" s="9" t="s">
        <v>11</v>
      </c>
      <c r="B7" s="10" t="s">
        <v>12</v>
      </c>
      <c r="C7" s="10" t="s">
        <v>13</v>
      </c>
      <c r="D7" s="8" t="s">
        <v>14</v>
      </c>
    </row>
    <row r="8" customFormat="false" ht="75.75" hidden="false" customHeight="true" outlineLevel="0" collapsed="false">
      <c r="A8" s="6" t="s">
        <v>15</v>
      </c>
      <c r="B8" s="7" t="s">
        <v>16</v>
      </c>
      <c r="C8" s="7" t="s">
        <v>17</v>
      </c>
      <c r="D8" s="8" t="s">
        <v>18</v>
      </c>
    </row>
    <row r="9" customFormat="false" ht="75.75" hidden="false" customHeight="true" outlineLevel="0" collapsed="false">
      <c r="A9" s="9" t="s">
        <v>19</v>
      </c>
      <c r="B9" s="10" t="s">
        <v>20</v>
      </c>
      <c r="C9" s="10" t="s">
        <v>21</v>
      </c>
      <c r="D9" s="8" t="s">
        <v>22</v>
      </c>
    </row>
    <row r="10" customFormat="false" ht="75.75" hidden="false" customHeight="true" outlineLevel="0" collapsed="false">
      <c r="A10" s="6" t="s">
        <v>23</v>
      </c>
      <c r="B10" s="7" t="s">
        <v>24</v>
      </c>
      <c r="C10" s="7" t="s">
        <v>25</v>
      </c>
      <c r="D10" s="8" t="s">
        <v>26</v>
      </c>
    </row>
    <row r="11" customFormat="false" ht="12" hidden="false" customHeight="true" outlineLevel="0" collapsed="false"/>
    <row r="12" customFormat="false" ht="12" hidden="false" customHeight="true" outlineLevel="0" collapsed="false"/>
    <row r="13" customFormat="false" ht="24" hidden="false" customHeight="true" outlineLevel="0" collapsed="false">
      <c r="A13" s="11" t="s">
        <v>27</v>
      </c>
      <c r="B13" s="11"/>
      <c r="C13" s="11"/>
      <c r="D13" s="11"/>
    </row>
    <row r="14" customFormat="false" ht="24" hidden="false" customHeight="true" outlineLevel="0" collapsed="false">
      <c r="A14" s="4" t="s">
        <v>28</v>
      </c>
      <c r="B14" s="5" t="s">
        <v>29</v>
      </c>
      <c r="C14" s="4" t="s">
        <v>30</v>
      </c>
      <c r="D14" s="4" t="s">
        <v>31</v>
      </c>
    </row>
    <row r="15" customFormat="false" ht="27.75" hidden="false" customHeight="true" outlineLevel="0" collapsed="false">
      <c r="A15" s="9" t="s">
        <v>32</v>
      </c>
      <c r="B15" s="10" t="s">
        <v>33</v>
      </c>
      <c r="C15" s="12" t="n">
        <v>0.15</v>
      </c>
      <c r="D15" s="13" t="n">
        <v>9</v>
      </c>
    </row>
    <row r="16" customFormat="false" ht="27.75" hidden="false" customHeight="true" outlineLevel="0" collapsed="false">
      <c r="A16" s="6" t="s">
        <v>34</v>
      </c>
      <c r="B16" s="7" t="s">
        <v>35</v>
      </c>
      <c r="C16" s="14" t="n">
        <v>0.2</v>
      </c>
      <c r="D16" s="15" t="n">
        <v>12</v>
      </c>
    </row>
    <row r="17" customFormat="false" ht="27.75" hidden="false" customHeight="true" outlineLevel="0" collapsed="false">
      <c r="A17" s="9" t="s">
        <v>36</v>
      </c>
      <c r="B17" s="10" t="s">
        <v>37</v>
      </c>
      <c r="C17" s="12" t="n">
        <v>0.35</v>
      </c>
      <c r="D17" s="13" t="n">
        <v>21</v>
      </c>
    </row>
    <row r="18" customFormat="false" ht="27.75" hidden="false" customHeight="true" outlineLevel="0" collapsed="false">
      <c r="A18" s="6" t="s">
        <v>38</v>
      </c>
      <c r="B18" s="7" t="s">
        <v>39</v>
      </c>
      <c r="C18" s="14" t="n">
        <v>0.3</v>
      </c>
      <c r="D18" s="15" t="n">
        <v>18</v>
      </c>
    </row>
    <row r="19" customFormat="false" ht="24" hidden="false" customHeight="true" outlineLevel="0" collapsed="false">
      <c r="A19" s="16" t="s">
        <v>40</v>
      </c>
      <c r="B19" s="17" t="s">
        <v>41</v>
      </c>
      <c r="C19" s="18" t="n">
        <f aca="false">SUM(C15:C18)</f>
        <v>1</v>
      </c>
      <c r="D19" s="19" t="n">
        <f aca="false">SUM(D15:D18)</f>
        <v>60</v>
      </c>
    </row>
  </sheetData>
  <mergeCells count="4">
    <mergeCell ref="A1:D1"/>
    <mergeCell ref="A2:D2"/>
    <mergeCell ref="A3:D3"/>
    <mergeCell ref="A13:D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40"/>
    <col collapsed="false" customWidth="true" hidden="false" outlineLevel="0" max="4" min="3" style="0" width="16"/>
    <col collapsed="false" customWidth="true" hidden="false" outlineLevel="0" max="5" min="5" style="0" width="18"/>
    <col collapsed="false" customWidth="true" hidden="false" outlineLevel="0" max="6" min="6" style="0" width="40"/>
    <col collapsed="false" customWidth="true" hidden="false" outlineLevel="0" max="8" min="7" style="0" width="16"/>
    <col collapsed="false" customWidth="true" hidden="false" outlineLevel="0" max="9" min="9" style="0" width="18"/>
  </cols>
  <sheetData>
    <row r="1" customFormat="false" ht="30" hidden="false" customHeight="true" outlineLevel="0" collapsed="false">
      <c r="A1" s="1" t="s">
        <v>42</v>
      </c>
      <c r="B1" s="1"/>
      <c r="C1" s="1"/>
      <c r="D1" s="1"/>
      <c r="E1" s="1"/>
      <c r="F1" s="1"/>
      <c r="G1" s="1"/>
      <c r="H1" s="1"/>
      <c r="I1" s="1"/>
    </row>
    <row r="2" customFormat="false" ht="19.5" hidden="false" customHeight="true" outlineLevel="0" collapsed="false">
      <c r="A2" s="2" t="s">
        <v>43</v>
      </c>
      <c r="B2" s="2"/>
      <c r="C2" s="2"/>
      <c r="D2" s="2"/>
      <c r="E2" s="2"/>
      <c r="F2" s="2"/>
      <c r="G2" s="2"/>
      <c r="H2" s="2"/>
      <c r="I2" s="2"/>
    </row>
    <row r="3" customFormat="false" ht="19.5" hidden="false" customHeight="true" outlineLevel="0" collapsed="false">
      <c r="A3" s="3" t="s">
        <v>44</v>
      </c>
      <c r="B3" s="3"/>
      <c r="C3" s="3"/>
      <c r="D3" s="3"/>
      <c r="E3" s="3"/>
      <c r="F3" s="3"/>
      <c r="G3" s="3"/>
      <c r="H3" s="3"/>
      <c r="I3" s="3"/>
    </row>
    <row r="4" customFormat="false" ht="9.75" hidden="false" customHeight="true" outlineLevel="0" collapsed="false"/>
    <row r="5" customFormat="false" ht="27.75" hidden="false" customHeight="true" outlineLevel="0" collapsed="false">
      <c r="A5" s="4" t="s">
        <v>45</v>
      </c>
      <c r="B5" s="5" t="s">
        <v>46</v>
      </c>
      <c r="C5" s="4" t="s">
        <v>47</v>
      </c>
      <c r="D5" s="4" t="s">
        <v>48</v>
      </c>
      <c r="E5" s="4" t="s">
        <v>49</v>
      </c>
      <c r="F5" s="5" t="s">
        <v>50</v>
      </c>
      <c r="G5" s="4" t="s">
        <v>51</v>
      </c>
      <c r="H5" s="4" t="s">
        <v>52</v>
      </c>
      <c r="I5" s="4" t="s">
        <v>53</v>
      </c>
    </row>
    <row r="6" customFormat="false" ht="42" hidden="false" customHeight="true" outlineLevel="0" collapsed="false">
      <c r="A6" s="6" t="s">
        <v>54</v>
      </c>
      <c r="B6" s="7" t="s">
        <v>55</v>
      </c>
      <c r="C6" s="20" t="n">
        <v>0</v>
      </c>
      <c r="D6" s="20" t="n">
        <v>100</v>
      </c>
      <c r="E6" s="21" t="n">
        <f aca="false">AVERAGE(C6:D6)</f>
        <v>50</v>
      </c>
      <c r="F6" s="7" t="s">
        <v>56</v>
      </c>
      <c r="G6" s="20" t="n">
        <v>200</v>
      </c>
      <c r="H6" s="20" t="n">
        <v>300</v>
      </c>
      <c r="I6" s="21" t="n">
        <f aca="false">AVERAGE(G6:H6)</f>
        <v>250</v>
      </c>
    </row>
    <row r="7" customFormat="false" ht="42" hidden="false" customHeight="true" outlineLevel="0" collapsed="false">
      <c r="A7" s="9" t="s">
        <v>57</v>
      </c>
      <c r="B7" s="10" t="s">
        <v>58</v>
      </c>
      <c r="C7" s="22" t="n">
        <v>60</v>
      </c>
      <c r="D7" s="22" t="n">
        <v>120</v>
      </c>
      <c r="E7" s="23" t="n">
        <f aca="false">AVERAGE(C7:D7)</f>
        <v>90</v>
      </c>
      <c r="F7" s="10" t="s">
        <v>59</v>
      </c>
      <c r="G7" s="22" t="n">
        <v>150</v>
      </c>
      <c r="H7" s="22" t="n">
        <v>250</v>
      </c>
      <c r="I7" s="23" t="n">
        <f aca="false">AVERAGE(G7:H7)</f>
        <v>200</v>
      </c>
    </row>
    <row r="8" customFormat="false" ht="42" hidden="false" customHeight="true" outlineLevel="0" collapsed="false">
      <c r="A8" s="6" t="s">
        <v>60</v>
      </c>
      <c r="B8" s="7" t="s">
        <v>61</v>
      </c>
      <c r="C8" s="20" t="n">
        <v>20</v>
      </c>
      <c r="D8" s="20" t="n">
        <v>40</v>
      </c>
      <c r="E8" s="21" t="n">
        <f aca="false">AVERAGE(C8:D8)</f>
        <v>30</v>
      </c>
      <c r="F8" s="7" t="s">
        <v>62</v>
      </c>
      <c r="G8" s="20" t="n">
        <v>80</v>
      </c>
      <c r="H8" s="20" t="n">
        <v>120</v>
      </c>
      <c r="I8" s="21" t="n">
        <f aca="false">AVERAGE(G8:H8)</f>
        <v>100</v>
      </c>
    </row>
    <row r="9" customFormat="false" ht="42" hidden="false" customHeight="true" outlineLevel="0" collapsed="false">
      <c r="A9" s="9" t="s">
        <v>63</v>
      </c>
      <c r="B9" s="10" t="s">
        <v>64</v>
      </c>
      <c r="C9" s="22" t="n">
        <v>40</v>
      </c>
      <c r="D9" s="22" t="n">
        <v>80</v>
      </c>
      <c r="E9" s="23" t="n">
        <f aca="false">AVERAGE(C9:D9)</f>
        <v>60</v>
      </c>
      <c r="F9" s="10" t="s">
        <v>65</v>
      </c>
      <c r="G9" s="22" t="n">
        <v>120</v>
      </c>
      <c r="H9" s="22" t="n">
        <v>180</v>
      </c>
      <c r="I9" s="23" t="n">
        <f aca="false">AVERAGE(G9:H9)</f>
        <v>150</v>
      </c>
    </row>
    <row r="10" customFormat="false" ht="42" hidden="false" customHeight="true" outlineLevel="0" collapsed="false">
      <c r="A10" s="6" t="s">
        <v>66</v>
      </c>
      <c r="B10" s="7" t="s">
        <v>67</v>
      </c>
      <c r="C10" s="20" t="n">
        <v>30</v>
      </c>
      <c r="D10" s="20" t="n">
        <v>60</v>
      </c>
      <c r="E10" s="21" t="n">
        <f aca="false">AVERAGE(C10:D10)</f>
        <v>45</v>
      </c>
      <c r="F10" s="7" t="s">
        <v>68</v>
      </c>
      <c r="G10" s="20" t="n">
        <v>80</v>
      </c>
      <c r="H10" s="20" t="n">
        <v>120</v>
      </c>
      <c r="I10" s="21" t="n">
        <f aca="false">AVERAGE(G10:H10)</f>
        <v>100</v>
      </c>
    </row>
    <row r="11" customFormat="false" ht="42" hidden="false" customHeight="true" outlineLevel="0" collapsed="false">
      <c r="A11" s="9" t="s">
        <v>69</v>
      </c>
      <c r="B11" s="10" t="s">
        <v>70</v>
      </c>
      <c r="C11" s="22" t="n">
        <v>0</v>
      </c>
      <c r="D11" s="22" t="n">
        <v>0</v>
      </c>
      <c r="E11" s="23" t="n">
        <f aca="false">AVERAGE(C11:D11)</f>
        <v>0</v>
      </c>
      <c r="F11" s="10" t="s">
        <v>71</v>
      </c>
      <c r="G11" s="22" t="n">
        <v>0</v>
      </c>
      <c r="H11" s="22" t="n">
        <v>0</v>
      </c>
      <c r="I11" s="23" t="n">
        <f aca="false">AVERAGE(G11:H11)</f>
        <v>0</v>
      </c>
    </row>
    <row r="12" customFormat="false" ht="27.75" hidden="false" customHeight="true" outlineLevel="0" collapsed="false">
      <c r="A12" s="16" t="s">
        <v>40</v>
      </c>
      <c r="B12" s="17" t="s">
        <v>72</v>
      </c>
      <c r="C12" s="24" t="n">
        <f aca="false">SUM(C6:C11)</f>
        <v>150</v>
      </c>
      <c r="D12" s="24" t="n">
        <f aca="false">SUM(D6:D11)</f>
        <v>400</v>
      </c>
      <c r="E12" s="24" t="n">
        <f aca="false">SUM(E6:E11)</f>
        <v>275</v>
      </c>
      <c r="F12" s="17" t="s">
        <v>73</v>
      </c>
      <c r="G12" s="24" t="n">
        <f aca="false">SUM(G6:G11)</f>
        <v>630</v>
      </c>
      <c r="H12" s="24" t="n">
        <f aca="false">SUM(H6:H11)</f>
        <v>970</v>
      </c>
      <c r="I12" s="24" t="n">
        <f aca="false">SUM(I6:I11)</f>
        <v>800</v>
      </c>
    </row>
    <row r="13" customFormat="false" ht="12" hidden="false" customHeight="true" outlineLevel="0" collapsed="false"/>
    <row r="14" customFormat="false" ht="12" hidden="false" customHeight="true" outlineLevel="0" collapsed="false"/>
    <row r="15" customFormat="false" ht="24" hidden="false" customHeight="true" outlineLevel="0" collapsed="false">
      <c r="A15" s="11" t="s">
        <v>74</v>
      </c>
      <c r="B15" s="11"/>
      <c r="C15" s="11"/>
      <c r="D15" s="11"/>
      <c r="E15" s="11"/>
      <c r="F15" s="11"/>
      <c r="G15" s="11"/>
      <c r="H15" s="11"/>
      <c r="I15" s="11"/>
    </row>
    <row r="16" customFormat="false" ht="33.75" hidden="false" customHeight="true" outlineLevel="0" collapsed="false">
      <c r="A16" s="25" t="s">
        <v>75</v>
      </c>
      <c r="B16" s="7" t="s">
        <v>76</v>
      </c>
      <c r="C16" s="20" t="n">
        <f aca="false">G12-C12</f>
        <v>480</v>
      </c>
      <c r="D16" s="20" t="n">
        <f aca="false">H12-D12</f>
        <v>570</v>
      </c>
      <c r="E16" s="21" t="n">
        <f aca="false">I12-E12</f>
        <v>525</v>
      </c>
      <c r="F16" s="7" t="s">
        <v>77</v>
      </c>
      <c r="G16" s="7"/>
      <c r="H16" s="7"/>
      <c r="I16" s="7"/>
    </row>
    <row r="17" customFormat="false" ht="33.75" hidden="false" customHeight="true" outlineLevel="0" collapsed="false">
      <c r="A17" s="26" t="s">
        <v>78</v>
      </c>
      <c r="B17" s="10" t="s">
        <v>79</v>
      </c>
      <c r="C17" s="27" t="n">
        <f aca="false">C12/G12</f>
        <v>0.238095238095238</v>
      </c>
      <c r="D17" s="27" t="n">
        <f aca="false">D12/H12</f>
        <v>0.412371134020619</v>
      </c>
      <c r="E17" s="28" t="n">
        <f aca="false">E12/I12</f>
        <v>0.34375</v>
      </c>
      <c r="F17" s="10" t="s">
        <v>80</v>
      </c>
      <c r="G17" s="10"/>
      <c r="H17" s="10"/>
      <c r="I17" s="10"/>
    </row>
    <row r="18" customFormat="false" ht="33.75" hidden="false" customHeight="true" outlineLevel="0" collapsed="false">
      <c r="A18" s="25" t="s">
        <v>81</v>
      </c>
      <c r="B18" s="7" t="s">
        <v>82</v>
      </c>
      <c r="C18" s="29" t="n">
        <f aca="false">C17*12</f>
        <v>2.85714285714286</v>
      </c>
      <c r="D18" s="29" t="n">
        <f aca="false">D17*12</f>
        <v>4.94845360824742</v>
      </c>
      <c r="E18" s="30" t="n">
        <f aca="false">E17*12</f>
        <v>4.125</v>
      </c>
      <c r="F18" s="7" t="s">
        <v>83</v>
      </c>
      <c r="G18" s="7"/>
      <c r="H18" s="7"/>
      <c r="I18" s="7"/>
    </row>
    <row r="19" customFormat="false" ht="33.75" hidden="false" customHeight="true" outlineLevel="0" collapsed="false">
      <c r="A19" s="26" t="s">
        <v>84</v>
      </c>
      <c r="B19" s="10" t="s">
        <v>85</v>
      </c>
      <c r="C19" s="31" t="n">
        <f aca="false">(G12-C12)/C12</f>
        <v>3.2</v>
      </c>
      <c r="D19" s="31" t="n">
        <f aca="false">(H12-D12)/D12</f>
        <v>1.425</v>
      </c>
      <c r="E19" s="32" t="n">
        <f aca="false">(I12-E12)/E12</f>
        <v>1.90909090909091</v>
      </c>
      <c r="F19" s="10" t="s">
        <v>86</v>
      </c>
      <c r="G19" s="10"/>
      <c r="H19" s="10"/>
      <c r="I19" s="10"/>
    </row>
    <row r="20" customFormat="false" ht="27.75" hidden="false" customHeight="true" outlineLevel="0" collapsed="false">
      <c r="A20" s="33" t="s">
        <v>87</v>
      </c>
      <c r="B20" s="33"/>
      <c r="C20" s="33"/>
      <c r="D20" s="33"/>
      <c r="E20" s="33"/>
      <c r="F20" s="33"/>
      <c r="G20" s="33"/>
      <c r="H20" s="33"/>
      <c r="I20" s="33"/>
    </row>
    <row r="21" customFormat="false" ht="12" hidden="false" customHeight="true" outlineLevel="0" collapsed="false"/>
    <row r="22" customFormat="false" ht="12" hidden="false" customHeight="true" outlineLevel="0" collapsed="false"/>
  </sheetData>
  <mergeCells count="9">
    <mergeCell ref="A1:I1"/>
    <mergeCell ref="A2:I2"/>
    <mergeCell ref="A3:I3"/>
    <mergeCell ref="A15:I15"/>
    <mergeCell ref="F16:I16"/>
    <mergeCell ref="F17:I17"/>
    <mergeCell ref="F18:I18"/>
    <mergeCell ref="F19:I19"/>
    <mergeCell ref="A20:I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2026-10-29T13:28:47Z</dcterms:created>
  <dc:creator>openpyxl</dc:creator>
  <dc:description/>
  <dc:language>en-US</dc:language>
  <cp:lastModifiedBy/>
  <dcterms:modified xsi:type="dcterms:W3CDTF">2026-10-29T13:28:47Z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